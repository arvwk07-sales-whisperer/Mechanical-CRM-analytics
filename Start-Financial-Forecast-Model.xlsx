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arnav\OneDrive\Desktop\"/>
    </mc:Choice>
  </mc:AlternateContent>
  <xr:revisionPtr revIDLastSave="0" documentId="13_ncr:1_{8F17C61E-F0FA-4AF1-BAEC-1C939A341AFC}" xr6:coauthVersionLast="47" xr6:coauthVersionMax="47" xr10:uidLastSave="{00000000-0000-0000-0000-000000000000}"/>
  <bookViews>
    <workbookView xWindow="-120" yWindow="-120" windowWidth="29040" windowHeight="15720" xr2:uid="{51C94CC5-0C2F-6D4D-9C41-E0029B3FD163}"/>
  </bookViews>
  <sheets>
    <sheet name="Forecasting Model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7" i="2" l="1"/>
  <c r="G47" i="2" s="1"/>
  <c r="H47" i="2" s="1"/>
  <c r="E47" i="2"/>
  <c r="E46" i="2"/>
  <c r="F46" i="2" s="1"/>
  <c r="G46" i="2" s="1"/>
  <c r="H46" i="2" s="1"/>
  <c r="E45" i="2"/>
  <c r="F45" i="2" s="1"/>
  <c r="G45" i="2" s="1"/>
  <c r="H45" i="2" s="1"/>
  <c r="G44" i="2"/>
  <c r="H44" i="2" s="1"/>
  <c r="F44" i="2"/>
  <c r="E44" i="2"/>
  <c r="D38" i="2"/>
  <c r="E32" i="2"/>
  <c r="E38" i="2" s="1"/>
  <c r="E27" i="1"/>
  <c r="F27" i="1"/>
  <c r="G27" i="1"/>
  <c r="H27" i="1"/>
  <c r="D27" i="1"/>
  <c r="E26" i="1"/>
  <c r="F26" i="1"/>
  <c r="G26" i="1"/>
  <c r="H26" i="1"/>
  <c r="D26" i="1"/>
  <c r="E23" i="1"/>
  <c r="E24" i="1" s="1"/>
  <c r="F23" i="1"/>
  <c r="G23" i="1"/>
  <c r="H23" i="1"/>
  <c r="F24" i="1"/>
  <c r="G24" i="1"/>
  <c r="H24" i="1"/>
  <c r="D18" i="1"/>
  <c r="D19" i="1"/>
  <c r="D20" i="1"/>
  <c r="D17" i="1"/>
  <c r="E7" i="1"/>
  <c r="F7" i="1"/>
  <c r="G7" i="1"/>
  <c r="H7" i="1"/>
  <c r="H11" i="1" s="1"/>
  <c r="H13" i="1" s="1"/>
  <c r="H14" i="1" s="1"/>
  <c r="E9" i="1"/>
  <c r="F9" i="1"/>
  <c r="G9" i="1"/>
  <c r="H9" i="1"/>
  <c r="E10" i="1"/>
  <c r="F10" i="1"/>
  <c r="G10" i="1"/>
  <c r="H10" i="1"/>
  <c r="E11" i="1"/>
  <c r="E13" i="1" s="1"/>
  <c r="E14" i="1" s="1"/>
  <c r="F11" i="1"/>
  <c r="F13" i="1" s="1"/>
  <c r="F14" i="1" s="1"/>
  <c r="G11" i="1"/>
  <c r="G13" i="1" s="1"/>
  <c r="G14" i="1" s="1"/>
  <c r="D14" i="1"/>
  <c r="D13" i="1"/>
  <c r="D11" i="1"/>
  <c r="D9" i="1"/>
  <c r="D10" i="1"/>
  <c r="E47" i="1"/>
  <c r="F47" i="1" s="1"/>
  <c r="G47" i="1" s="1"/>
  <c r="H47" i="1" s="1"/>
  <c r="H20" i="1" s="1"/>
  <c r="E46" i="1"/>
  <c r="F46" i="1" s="1"/>
  <c r="G46" i="1" s="1"/>
  <c r="H46" i="1" s="1"/>
  <c r="H19" i="1" s="1"/>
  <c r="E45" i="1"/>
  <c r="F45" i="1" s="1"/>
  <c r="G45" i="1" s="1"/>
  <c r="H45" i="1" s="1"/>
  <c r="H18" i="1" s="1"/>
  <c r="E44" i="1"/>
  <c r="F44" i="1" s="1"/>
  <c r="G44" i="1" s="1"/>
  <c r="H44" i="1" s="1"/>
  <c r="H17" i="1" s="1"/>
  <c r="D5" i="1"/>
  <c r="D38" i="1" s="1"/>
  <c r="D7" i="1" s="1"/>
  <c r="E32" i="1"/>
  <c r="F32" i="1" s="1"/>
  <c r="F2" i="1"/>
  <c r="G2" i="1" s="1"/>
  <c r="H2" i="1" s="1"/>
  <c r="E2" i="1"/>
  <c r="F32" i="2" l="1"/>
  <c r="G20" i="1"/>
  <c r="F20" i="1"/>
  <c r="E20" i="1"/>
  <c r="G19" i="1"/>
  <c r="F19" i="1"/>
  <c r="E19" i="1"/>
  <c r="H21" i="1"/>
  <c r="E18" i="1"/>
  <c r="D21" i="1"/>
  <c r="D23" i="1" s="1"/>
  <c r="D24" i="1" s="1"/>
  <c r="G18" i="1"/>
  <c r="F18" i="1"/>
  <c r="G17" i="1"/>
  <c r="F17" i="1"/>
  <c r="E17" i="1"/>
  <c r="G32" i="1"/>
  <c r="F5" i="1"/>
  <c r="F38" i="1" s="1"/>
  <c r="E5" i="1"/>
  <c r="E38" i="1" s="1"/>
  <c r="F38" i="2" l="1"/>
  <c r="G32" i="2"/>
  <c r="G21" i="1"/>
  <c r="F21" i="1"/>
  <c r="E21" i="1"/>
  <c r="H32" i="1"/>
  <c r="H5" i="1" s="1"/>
  <c r="H38" i="1" s="1"/>
  <c r="G5" i="1"/>
  <c r="G38" i="1" s="1"/>
  <c r="G38" i="2" l="1"/>
  <c r="H32" i="2"/>
  <c r="H38" i="2" s="1"/>
</calcChain>
</file>

<file path=xl/sharedStrings.xml><?xml version="1.0" encoding="utf-8"?>
<sst xmlns="http://schemas.openxmlformats.org/spreadsheetml/2006/main" count="101" uniqueCount="38">
  <si>
    <t>Income Statement</t>
  </si>
  <si>
    <t>Assumptions</t>
  </si>
  <si>
    <t>Other</t>
  </si>
  <si>
    <t>Revenue</t>
  </si>
  <si>
    <t>Gross Profit</t>
  </si>
  <si>
    <t>Gross Profit Margin</t>
  </si>
  <si>
    <t>Marketing</t>
  </si>
  <si>
    <t>Tax</t>
  </si>
  <si>
    <t>Profit / (Loss)</t>
  </si>
  <si>
    <t>#</t>
  </si>
  <si>
    <t>Unit</t>
  </si>
  <si>
    <t>%</t>
  </si>
  <si>
    <t>Number of Orders</t>
  </si>
  <si>
    <t>Order Growth Rate</t>
  </si>
  <si>
    <t>Year 1</t>
  </si>
  <si>
    <t>Year 2</t>
  </si>
  <si>
    <t>Year 3</t>
  </si>
  <si>
    <t>Year 4</t>
  </si>
  <si>
    <t>Year 5</t>
  </si>
  <si>
    <t>Operating Expenses</t>
  </si>
  <si>
    <t>Corporate Tax Rate</t>
  </si>
  <si>
    <t>Salaries &amp; Payroll</t>
  </si>
  <si>
    <t>Total Operating Expenses</t>
  </si>
  <si>
    <t>Operating Profit</t>
  </si>
  <si>
    <t>Operating Profit Margin</t>
  </si>
  <si>
    <t>Figures in INR</t>
  </si>
  <si>
    <t>Rs</t>
  </si>
  <si>
    <t>Cost of Goods brought</t>
  </si>
  <si>
    <t>Ingredient cost</t>
  </si>
  <si>
    <t>Restaurant Rent</t>
  </si>
  <si>
    <t>Dish Fulfillment</t>
  </si>
  <si>
    <t>Veg dishes</t>
  </si>
  <si>
    <t>Non-VEG dishes</t>
  </si>
  <si>
    <t>Average VEG Order value</t>
  </si>
  <si>
    <t>Average NON VEG Order Value</t>
  </si>
  <si>
    <t>Total COGB</t>
  </si>
  <si>
    <t>Cost of Goods brought(per order)</t>
  </si>
  <si>
    <t>Resturant 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</si>
</sst>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.00_-;\-* #,##0.00_-;_-* &quot;-&quot;??_-;_-@_-"/>
    <numFmt numFmtId="166" formatCode="_(* #,##0_);_(* \(#,##0\);_(* &quot;-&quot;??_);_(@_)"/>
    <numFmt numFmtId="167" formatCode="_ [$₹-4009]\ * #,##0.00_ ;_ [$₹-4009]\ * \-#,##0.00_ ;_ [$₹-4009]\ * &quot;-&quot;??_ ;_ @_ "/>
    <numFmt numFmtId="168" formatCode="&quot;₹&quot;\ #,##0.00"/>
  </numFmts>
  <fonts count="2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432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432FF"/>
      <name val="Calibri"/>
      <family val="2"/>
      <scheme val="minor"/>
    </font>
    <font>
      <sz val="14"/>
      <color rgb="FF0000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93D68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05496"/>
        <bgColor rgb="FF000000"/>
      </patternFill>
    </fill>
    <fill>
      <patternFill patternType="solid">
        <fgColor theme="4" tint="0.79998168889431442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5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6" fillId="0" borderId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66">
    <xf numFmtId="0" fontId="0" fillId="0" borderId="0" xfId="0"/>
    <xf numFmtId="0" fontId="8" fillId="2" borderId="0" xfId="0" applyFont="1" applyFill="1"/>
    <xf numFmtId="0" fontId="8" fillId="2" borderId="0" xfId="0" applyFont="1" applyFill="1" applyAlignment="1">
      <alignment horizontal="center"/>
    </xf>
    <xf numFmtId="166" fontId="10" fillId="0" borderId="0" xfId="0" applyNumberFormat="1" applyFont="1"/>
    <xf numFmtId="166" fontId="11" fillId="0" borderId="0" xfId="0" applyNumberFormat="1" applyFont="1"/>
    <xf numFmtId="0" fontId="11" fillId="0" borderId="0" xfId="0" applyFont="1"/>
    <xf numFmtId="0" fontId="12" fillId="4" borderId="0" xfId="0" applyFont="1" applyFill="1"/>
    <xf numFmtId="0" fontId="11" fillId="0" borderId="0" xfId="0" applyFont="1" applyAlignment="1">
      <alignment horizontal="left" indent="1"/>
    </xf>
    <xf numFmtId="0" fontId="12" fillId="0" borderId="1" xfId="0" applyFont="1" applyBorder="1"/>
    <xf numFmtId="166" fontId="12" fillId="0" borderId="1" xfId="0" applyNumberFormat="1" applyFont="1" applyBorder="1"/>
    <xf numFmtId="0" fontId="12" fillId="0" borderId="0" xfId="0" applyFont="1"/>
    <xf numFmtId="0" fontId="12" fillId="0" borderId="2" xfId="0" applyFont="1" applyBorder="1"/>
    <xf numFmtId="166" fontId="12" fillId="0" borderId="2" xfId="0" applyNumberFormat="1" applyFont="1" applyBorder="1"/>
    <xf numFmtId="0" fontId="12" fillId="5" borderId="2" xfId="0" applyFont="1" applyFill="1" applyBorder="1"/>
    <xf numFmtId="166" fontId="12" fillId="5" borderId="2" xfId="0" applyNumberFormat="1" applyFont="1" applyFill="1" applyBorder="1"/>
    <xf numFmtId="166" fontId="12" fillId="0" borderId="0" xfId="0" applyNumberFormat="1" applyFont="1"/>
    <xf numFmtId="9" fontId="13" fillId="0" borderId="0" xfId="0" applyNumberFormat="1" applyFont="1"/>
    <xf numFmtId="0" fontId="14" fillId="0" borderId="0" xfId="0" applyFont="1"/>
    <xf numFmtId="166" fontId="11" fillId="0" borderId="0" xfId="0" applyNumberFormat="1" applyFont="1" applyAlignment="1">
      <alignment horizontal="right"/>
    </xf>
    <xf numFmtId="0" fontId="12" fillId="4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5" borderId="2" xfId="0" applyFont="1" applyFill="1" applyBorder="1" applyAlignment="1">
      <alignment horizontal="center"/>
    </xf>
    <xf numFmtId="164" fontId="10" fillId="0" borderId="0" xfId="0" applyNumberFormat="1" applyFont="1"/>
    <xf numFmtId="0" fontId="9" fillId="3" borderId="0" xfId="0" applyFont="1" applyFill="1"/>
    <xf numFmtId="9" fontId="10" fillId="0" borderId="0" xfId="2" applyFont="1"/>
    <xf numFmtId="0" fontId="9" fillId="3" borderId="0" xfId="0" applyFont="1" applyFill="1" applyAlignment="1">
      <alignment horizontal="center"/>
    </xf>
    <xf numFmtId="0" fontId="11" fillId="0" borderId="0" xfId="0" applyFont="1" applyAlignment="1">
      <alignment horizontal="left"/>
    </xf>
    <xf numFmtId="0" fontId="12" fillId="7" borderId="0" xfId="0" applyFont="1" applyFill="1"/>
    <xf numFmtId="0" fontId="12" fillId="7" borderId="0" xfId="0" applyFont="1" applyFill="1" applyAlignment="1">
      <alignment horizontal="center"/>
    </xf>
    <xf numFmtId="9" fontId="14" fillId="0" borderId="0" xfId="2" applyFont="1"/>
    <xf numFmtId="1" fontId="8" fillId="2" borderId="0" xfId="1" applyNumberFormat="1" applyFont="1" applyFill="1" applyAlignment="1">
      <alignment horizontal="center"/>
    </xf>
    <xf numFmtId="17" fontId="9" fillId="6" borderId="0" xfId="0" applyNumberFormat="1" applyFont="1" applyFill="1" applyAlignment="1">
      <alignment horizontal="center"/>
    </xf>
    <xf numFmtId="17" fontId="9" fillId="3" borderId="0" xfId="0" applyNumberFormat="1" applyFont="1" applyFill="1" applyAlignment="1">
      <alignment horizontal="center"/>
    </xf>
    <xf numFmtId="167" fontId="12" fillId="0" borderId="0" xfId="0" applyNumberFormat="1" applyFont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167" fontId="12" fillId="0" borderId="2" xfId="0" applyNumberFormat="1" applyFont="1" applyBorder="1" applyAlignment="1">
      <alignment horizontal="center"/>
    </xf>
    <xf numFmtId="168" fontId="12" fillId="0" borderId="0" xfId="0" applyNumberFormat="1" applyFont="1" applyAlignment="1">
      <alignment horizontal="center"/>
    </xf>
    <xf numFmtId="168" fontId="12" fillId="0" borderId="2" xfId="0" applyNumberFormat="1" applyFont="1" applyBorder="1" applyAlignment="1">
      <alignment horizontal="center"/>
    </xf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7" fontId="10" fillId="0" borderId="0" xfId="0" applyNumberFormat="1" applyFont="1"/>
    <xf numFmtId="2" fontId="10" fillId="0" borderId="0" xfId="0" applyNumberFormat="1" applyFont="1"/>
    <xf numFmtId="0" fontId="3" fillId="0" borderId="0" xfId="0" applyFont="1" applyAlignment="1">
      <alignment horizontal="center"/>
    </xf>
    <xf numFmtId="0" fontId="5" fillId="0" borderId="2" xfId="0" applyFont="1" applyBorder="1" applyAlignment="1">
      <alignment horizontal="left" indent="1"/>
    </xf>
    <xf numFmtId="0" fontId="2" fillId="0" borderId="0" xfId="0" applyFont="1" applyAlignment="1">
      <alignment horizontal="center"/>
    </xf>
    <xf numFmtId="168" fontId="12" fillId="0" borderId="0" xfId="0" applyNumberFormat="1" applyFont="1"/>
    <xf numFmtId="168" fontId="11" fillId="0" borderId="0" xfId="0" applyNumberFormat="1" applyFont="1"/>
    <xf numFmtId="0" fontId="1" fillId="0" borderId="0" xfId="0" applyFont="1" applyAlignment="1">
      <alignment horizontal="left" indent="1"/>
    </xf>
    <xf numFmtId="0" fontId="12" fillId="4" borderId="0" xfId="0" applyFont="1" applyFill="1" applyBorder="1"/>
    <xf numFmtId="0" fontId="12" fillId="4" borderId="0" xfId="0" applyFont="1" applyFill="1" applyBorder="1" applyAlignment="1">
      <alignment horizontal="center"/>
    </xf>
    <xf numFmtId="0" fontId="17" fillId="4" borderId="0" xfId="0" applyFont="1" applyFill="1" applyBorder="1"/>
    <xf numFmtId="0" fontId="18" fillId="0" borderId="0" xfId="0" applyFont="1" applyBorder="1"/>
    <xf numFmtId="0" fontId="18" fillId="0" borderId="0" xfId="0" applyFont="1" applyBorder="1" applyAlignment="1">
      <alignment horizontal="left" indent="1"/>
    </xf>
    <xf numFmtId="0" fontId="17" fillId="0" borderId="0" xfId="0" applyFont="1" applyBorder="1"/>
    <xf numFmtId="0" fontId="18" fillId="0" borderId="0" xfId="0" applyFont="1" applyBorder="1" applyAlignment="1">
      <alignment horizontal="left"/>
    </xf>
    <xf numFmtId="0" fontId="18" fillId="0" borderId="0" xfId="0" applyFont="1" applyBorder="1" applyAlignment="1">
      <alignment horizontal="center"/>
    </xf>
    <xf numFmtId="2" fontId="19" fillId="0" borderId="0" xfId="0" applyNumberFormat="1" applyFont="1" applyBorder="1"/>
    <xf numFmtId="166" fontId="18" fillId="0" borderId="0" xfId="0" applyNumberFormat="1" applyFont="1" applyBorder="1"/>
    <xf numFmtId="166" fontId="19" fillId="0" borderId="0" xfId="0" applyNumberFormat="1" applyFont="1" applyBorder="1"/>
    <xf numFmtId="9" fontId="19" fillId="0" borderId="0" xfId="2" applyFont="1" applyBorder="1"/>
    <xf numFmtId="167" fontId="19" fillId="0" borderId="0" xfId="0" applyNumberFormat="1" applyFont="1" applyBorder="1"/>
    <xf numFmtId="164" fontId="19" fillId="0" borderId="0" xfId="0" applyNumberFormat="1" applyFont="1" applyBorder="1"/>
    <xf numFmtId="9" fontId="20" fillId="0" borderId="0" xfId="0" applyNumberFormat="1" applyFont="1" applyBorder="1"/>
  </cellXfs>
  <cellStyles count="6">
    <cellStyle name="Comma" xfId="1" builtinId="3"/>
    <cellStyle name="Hyperlink 2" xfId="4" xr:uid="{5F59BA89-7615-4281-8BEF-2784D80BF483}"/>
    <cellStyle name="Hyperlink 2 2" xfId="5" xr:uid="{E46816E3-91A1-429A-9F57-9AA0637835E3}"/>
    <cellStyle name="Normal" xfId="0" builtinId="0"/>
    <cellStyle name="Normal 2 2" xfId="3" xr:uid="{E91F33F0-9EC6-4D88-A40D-712287F90237}"/>
    <cellStyle name="Percent" xfId="2" builtinId="5"/>
  </cellStyles>
  <dxfs count="0"/>
  <tableStyles count="0" defaultTableStyle="TableStyleMedium2" defaultPivotStyle="PivotStyleLight16"/>
  <colors>
    <mruColors>
      <color rgb="FFFFFF99"/>
      <color rgb="FF305496"/>
      <color rgb="FF293D68"/>
      <color rgb="FF000037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F0A7-6C3E-5B41-B94B-78E46A3C64F1}">
  <sheetPr codeName="Sheet1"/>
  <dimension ref="B2:H49"/>
  <sheetViews>
    <sheetView showGridLines="0" tabSelected="1" zoomScale="150" zoomScaleNormal="150" workbookViewId="0">
      <selection activeCell="B30" sqref="B30:H49"/>
    </sheetView>
  </sheetViews>
  <sheetFormatPr defaultColWidth="10.875" defaultRowHeight="15" x14ac:dyDescent="0.25"/>
  <cols>
    <col min="1" max="1" width="4.5" style="5" customWidth="1"/>
    <col min="2" max="2" width="22" style="5" customWidth="1"/>
    <col min="3" max="3" width="4.125" style="20" customWidth="1"/>
    <col min="4" max="4" width="22" style="5" customWidth="1"/>
    <col min="5" max="5" width="18" style="5" customWidth="1"/>
    <col min="6" max="6" width="16.625" style="5" customWidth="1"/>
    <col min="7" max="7" width="17.75" style="5" customWidth="1"/>
    <col min="8" max="8" width="18.25" style="5" customWidth="1"/>
    <col min="9" max="16384" width="10.875" style="5"/>
  </cols>
  <sheetData>
    <row r="2" spans="2:8" x14ac:dyDescent="0.25">
      <c r="B2" s="1"/>
      <c r="C2" s="2"/>
      <c r="D2" s="32">
        <v>2023</v>
      </c>
      <c r="E2" s="32">
        <f>D2+1</f>
        <v>2024</v>
      </c>
      <c r="F2" s="32">
        <f>E2+1</f>
        <v>2025</v>
      </c>
      <c r="G2" s="32">
        <f>F2+1</f>
        <v>2026</v>
      </c>
      <c r="H2" s="32">
        <f>G2+1</f>
        <v>2027</v>
      </c>
    </row>
    <row r="3" spans="2:8" x14ac:dyDescent="0.25">
      <c r="B3" s="25" t="s">
        <v>25</v>
      </c>
      <c r="C3" s="27" t="s">
        <v>10</v>
      </c>
      <c r="D3" s="33" t="s">
        <v>14</v>
      </c>
      <c r="E3" s="34" t="s">
        <v>15</v>
      </c>
      <c r="F3" s="34" t="s">
        <v>16</v>
      </c>
      <c r="G3" s="34" t="s">
        <v>17</v>
      </c>
      <c r="H3" s="34" t="s">
        <v>18</v>
      </c>
    </row>
    <row r="4" spans="2:8" x14ac:dyDescent="0.25">
      <c r="B4" s="29" t="s">
        <v>0</v>
      </c>
      <c r="C4" s="30"/>
      <c r="D4" s="29"/>
      <c r="E4" s="29"/>
      <c r="F4" s="29"/>
      <c r="G4" s="29"/>
      <c r="H4" s="29"/>
    </row>
    <row r="5" spans="2:8" x14ac:dyDescent="0.25">
      <c r="B5" s="10" t="s">
        <v>3</v>
      </c>
      <c r="C5" s="35" t="s">
        <v>26</v>
      </c>
      <c r="D5" s="48">
        <f>D32*D34*D35</f>
        <v>900000000</v>
      </c>
      <c r="E5" s="48">
        <f>E32*E34*E35</f>
        <v>1800000000</v>
      </c>
      <c r="F5" s="48">
        <f t="shared" ref="F5:H5" si="0">F32*F34*F35</f>
        <v>3150000000</v>
      </c>
      <c r="G5" s="48">
        <f t="shared" si="0"/>
        <v>4725000000</v>
      </c>
      <c r="H5" s="48">
        <f t="shared" si="0"/>
        <v>5906250000</v>
      </c>
    </row>
    <row r="6" spans="2:8" x14ac:dyDescent="0.25">
      <c r="B6" s="10" t="s">
        <v>27</v>
      </c>
      <c r="D6" s="4"/>
      <c r="E6" s="4"/>
      <c r="F6" s="4"/>
      <c r="G6" s="4"/>
      <c r="H6" s="4"/>
    </row>
    <row r="7" spans="2:8" x14ac:dyDescent="0.25">
      <c r="B7" s="40" t="s">
        <v>28</v>
      </c>
      <c r="C7" s="35" t="s">
        <v>26</v>
      </c>
      <c r="D7" s="49">
        <f>D$32*D38</f>
        <v>270000000</v>
      </c>
      <c r="E7" s="49">
        <f t="shared" ref="E7:H7" si="1">E$32*E38</f>
        <v>540000000</v>
      </c>
      <c r="F7" s="49">
        <f t="shared" si="1"/>
        <v>945000000</v>
      </c>
      <c r="G7" s="49">
        <f t="shared" si="1"/>
        <v>1417500000</v>
      </c>
      <c r="H7" s="49">
        <f t="shared" si="1"/>
        <v>1771875000</v>
      </c>
    </row>
    <row r="8" spans="2:8" x14ac:dyDescent="0.25">
      <c r="B8" s="40" t="s">
        <v>30</v>
      </c>
      <c r="C8" s="35"/>
      <c r="D8" s="49"/>
      <c r="E8" s="49"/>
      <c r="F8" s="49"/>
      <c r="G8" s="49"/>
      <c r="H8" s="49"/>
    </row>
    <row r="9" spans="2:8" x14ac:dyDescent="0.25">
      <c r="B9" s="40" t="s">
        <v>31</v>
      </c>
      <c r="C9" s="38" t="s">
        <v>26</v>
      </c>
      <c r="D9" s="49">
        <f t="shared" ref="D9:H10" si="2">D$32*D40</f>
        <v>1500000</v>
      </c>
      <c r="E9" s="49">
        <f t="shared" si="2"/>
        <v>3000000</v>
      </c>
      <c r="F9" s="49">
        <f t="shared" si="2"/>
        <v>5250000</v>
      </c>
      <c r="G9" s="49">
        <f t="shared" si="2"/>
        <v>7875000</v>
      </c>
      <c r="H9" s="49">
        <f t="shared" si="2"/>
        <v>9843750</v>
      </c>
    </row>
    <row r="10" spans="2:8" x14ac:dyDescent="0.25">
      <c r="B10" s="40" t="s">
        <v>32</v>
      </c>
      <c r="C10" s="38" t="s">
        <v>26</v>
      </c>
      <c r="D10" s="49">
        <f t="shared" si="2"/>
        <v>1500000</v>
      </c>
      <c r="E10" s="49">
        <f t="shared" si="2"/>
        <v>3000000</v>
      </c>
      <c r="F10" s="49">
        <f t="shared" si="2"/>
        <v>5250000</v>
      </c>
      <c r="G10" s="49">
        <f t="shared" si="2"/>
        <v>7875000</v>
      </c>
      <c r="H10" s="49">
        <f t="shared" si="2"/>
        <v>9843750</v>
      </c>
    </row>
    <row r="11" spans="2:8" x14ac:dyDescent="0.25">
      <c r="B11" s="10" t="s">
        <v>35</v>
      </c>
      <c r="C11" s="36" t="s">
        <v>26</v>
      </c>
      <c r="D11" s="9">
        <f>SUM(D7:D10)</f>
        <v>273000000</v>
      </c>
      <c r="E11" s="9">
        <f t="shared" ref="E11:H11" si="3">SUM(E7:E10)</f>
        <v>546000000</v>
      </c>
      <c r="F11" s="9">
        <f t="shared" si="3"/>
        <v>955500000</v>
      </c>
      <c r="G11" s="9">
        <f t="shared" si="3"/>
        <v>1433250000</v>
      </c>
      <c r="H11" s="9">
        <f t="shared" si="3"/>
        <v>1791562500</v>
      </c>
    </row>
    <row r="12" spans="2:8" x14ac:dyDescent="0.25">
      <c r="B12" s="7"/>
      <c r="D12" s="4"/>
      <c r="E12" s="4"/>
      <c r="F12" s="4"/>
      <c r="G12" s="4"/>
      <c r="H12" s="4"/>
    </row>
    <row r="13" spans="2:8" x14ac:dyDescent="0.25">
      <c r="B13" s="11" t="s">
        <v>4</v>
      </c>
      <c r="C13" s="37" t="s">
        <v>26</v>
      </c>
      <c r="D13" s="12">
        <f>D5-D11</f>
        <v>627000000</v>
      </c>
      <c r="E13" s="12">
        <f t="shared" ref="E13:H13" si="4">E5-E11</f>
        <v>1254000000</v>
      </c>
      <c r="F13" s="12">
        <f t="shared" si="4"/>
        <v>2194500000</v>
      </c>
      <c r="G13" s="12">
        <f t="shared" si="4"/>
        <v>3291750000</v>
      </c>
      <c r="H13" s="12">
        <f t="shared" si="4"/>
        <v>4114687500</v>
      </c>
    </row>
    <row r="14" spans="2:8" x14ac:dyDescent="0.25">
      <c r="B14" s="17" t="s">
        <v>5</v>
      </c>
      <c r="C14" s="20" t="s">
        <v>11</v>
      </c>
      <c r="D14" s="31">
        <f>D13/D5</f>
        <v>0.69666666666666666</v>
      </c>
      <c r="E14" s="31">
        <f t="shared" ref="E14:H14" si="5">E13/E5</f>
        <v>0.69666666666666666</v>
      </c>
      <c r="F14" s="31">
        <f t="shared" si="5"/>
        <v>0.69666666666666666</v>
      </c>
      <c r="G14" s="31">
        <f t="shared" si="5"/>
        <v>0.69666666666666666</v>
      </c>
      <c r="H14" s="31">
        <f t="shared" si="5"/>
        <v>0.69666666666666666</v>
      </c>
    </row>
    <row r="16" spans="2:8" x14ac:dyDescent="0.25">
      <c r="B16" s="10" t="s">
        <v>19</v>
      </c>
      <c r="C16" s="22"/>
    </row>
    <row r="17" spans="2:8" x14ac:dyDescent="0.25">
      <c r="B17" s="40" t="s">
        <v>29</v>
      </c>
      <c r="C17" s="38" t="s">
        <v>26</v>
      </c>
      <c r="D17" s="4">
        <f>D44</f>
        <v>4000000</v>
      </c>
      <c r="E17" s="4">
        <f t="shared" ref="E17:H17" si="6">E44</f>
        <v>4240000</v>
      </c>
      <c r="F17" s="4">
        <f t="shared" si="6"/>
        <v>4494400</v>
      </c>
      <c r="G17" s="4">
        <f t="shared" si="6"/>
        <v>4764064</v>
      </c>
      <c r="H17" s="4">
        <f t="shared" si="6"/>
        <v>5049907.84</v>
      </c>
    </row>
    <row r="18" spans="2:8" x14ac:dyDescent="0.25">
      <c r="B18" s="7" t="s">
        <v>21</v>
      </c>
      <c r="C18" s="38" t="s">
        <v>26</v>
      </c>
      <c r="D18" s="4">
        <f t="shared" ref="D18:H20" si="7">D45</f>
        <v>7000000</v>
      </c>
      <c r="E18" s="4">
        <f t="shared" si="7"/>
        <v>7420000</v>
      </c>
      <c r="F18" s="4">
        <f t="shared" si="7"/>
        <v>7865200</v>
      </c>
      <c r="G18" s="4">
        <f t="shared" si="7"/>
        <v>8337112</v>
      </c>
      <c r="H18" s="4">
        <f t="shared" si="7"/>
        <v>8837338.7200000007</v>
      </c>
    </row>
    <row r="19" spans="2:8" x14ac:dyDescent="0.25">
      <c r="B19" s="7" t="s">
        <v>6</v>
      </c>
      <c r="C19" s="38" t="s">
        <v>26</v>
      </c>
      <c r="D19" s="4">
        <f t="shared" si="7"/>
        <v>1500000</v>
      </c>
      <c r="E19" s="4">
        <f t="shared" si="7"/>
        <v>1590000</v>
      </c>
      <c r="F19" s="4">
        <f t="shared" si="7"/>
        <v>1685400</v>
      </c>
      <c r="G19" s="4">
        <f t="shared" si="7"/>
        <v>1786524</v>
      </c>
      <c r="H19" s="4">
        <f t="shared" si="7"/>
        <v>1893715.44</v>
      </c>
    </row>
    <row r="20" spans="2:8" x14ac:dyDescent="0.25">
      <c r="B20" s="7" t="s">
        <v>2</v>
      </c>
      <c r="C20" s="38" t="s">
        <v>26</v>
      </c>
      <c r="D20" s="4">
        <f t="shared" si="7"/>
        <v>500000</v>
      </c>
      <c r="E20" s="4">
        <f t="shared" si="7"/>
        <v>530000</v>
      </c>
      <c r="F20" s="4">
        <f t="shared" si="7"/>
        <v>561800</v>
      </c>
      <c r="G20" s="4">
        <f t="shared" si="7"/>
        <v>595508</v>
      </c>
      <c r="H20" s="4">
        <f t="shared" si="7"/>
        <v>631238.48</v>
      </c>
    </row>
    <row r="21" spans="2:8" x14ac:dyDescent="0.25">
      <c r="B21" s="8" t="s">
        <v>22</v>
      </c>
      <c r="C21" s="21" t="s">
        <v>26</v>
      </c>
      <c r="D21" s="9">
        <f>SUM(D17:D20)</f>
        <v>13000000</v>
      </c>
      <c r="E21" s="9">
        <f>SUM(E17:E20)</f>
        <v>13780000</v>
      </c>
      <c r="F21" s="9">
        <f>SUM(F17:F20)</f>
        <v>14606800</v>
      </c>
      <c r="G21" s="9">
        <f>SUM(G17:G20)</f>
        <v>15483208</v>
      </c>
      <c r="H21" s="9">
        <f>SUM(H17:H20)</f>
        <v>16412200.48</v>
      </c>
    </row>
    <row r="22" spans="2:8" x14ac:dyDescent="0.25">
      <c r="B22" s="10"/>
      <c r="C22" s="22"/>
      <c r="D22" s="15"/>
      <c r="E22" s="15"/>
      <c r="F22" s="15"/>
      <c r="G22" s="15"/>
      <c r="H22" s="15"/>
    </row>
    <row r="23" spans="2:8" x14ac:dyDescent="0.25">
      <c r="B23" s="11" t="s">
        <v>23</v>
      </c>
      <c r="C23" s="39" t="s">
        <v>26</v>
      </c>
      <c r="D23" s="12">
        <f>D5-D11-D21</f>
        <v>614000000</v>
      </c>
      <c r="E23" s="12">
        <f t="shared" ref="E23:H23" si="8">E5-E11-E21</f>
        <v>1240220000</v>
      </c>
      <c r="F23" s="12">
        <f t="shared" si="8"/>
        <v>2179893200</v>
      </c>
      <c r="G23" s="12">
        <f t="shared" si="8"/>
        <v>3276266792</v>
      </c>
      <c r="H23" s="12">
        <f t="shared" si="8"/>
        <v>4098275299.52</v>
      </c>
    </row>
    <row r="24" spans="2:8" x14ac:dyDescent="0.25">
      <c r="B24" s="17" t="s">
        <v>24</v>
      </c>
      <c r="C24" s="20" t="s">
        <v>11</v>
      </c>
      <c r="D24" s="31">
        <f>D23/D5</f>
        <v>0.68222222222222217</v>
      </c>
      <c r="E24" s="31">
        <f t="shared" ref="E24:H24" si="9">E23/E5</f>
        <v>0.68901111111111113</v>
      </c>
      <c r="F24" s="31">
        <f t="shared" si="9"/>
        <v>0.69202958730158726</v>
      </c>
      <c r="G24" s="31">
        <f t="shared" si="9"/>
        <v>0.69338979724867722</v>
      </c>
      <c r="H24" s="31">
        <f t="shared" si="9"/>
        <v>0.69388788140021163</v>
      </c>
    </row>
    <row r="26" spans="2:8" x14ac:dyDescent="0.25">
      <c r="B26" s="5" t="s">
        <v>7</v>
      </c>
      <c r="C26" s="47" t="s">
        <v>26</v>
      </c>
      <c r="D26" s="18">
        <f>IF(D23&lt;0,"NA",D23*D49)</f>
        <v>122800000</v>
      </c>
      <c r="E26" s="18">
        <f t="shared" ref="E26:H26" si="10">IF(E23&lt;0,"NA",E23*E49)</f>
        <v>248044000</v>
      </c>
      <c r="F26" s="18">
        <f t="shared" si="10"/>
        <v>435978640</v>
      </c>
      <c r="G26" s="18">
        <f t="shared" si="10"/>
        <v>655253358.4000001</v>
      </c>
      <c r="H26" s="18">
        <f t="shared" si="10"/>
        <v>819655059.90400004</v>
      </c>
    </row>
    <row r="27" spans="2:8" x14ac:dyDescent="0.25">
      <c r="B27" s="13" t="s">
        <v>8</v>
      </c>
      <c r="C27" s="23" t="s">
        <v>26</v>
      </c>
      <c r="D27" s="14">
        <f>D23-D26</f>
        <v>491200000</v>
      </c>
      <c r="E27" s="14">
        <f t="shared" ref="E27:H27" si="11">E23-E26</f>
        <v>992176000</v>
      </c>
      <c r="F27" s="14">
        <f t="shared" si="11"/>
        <v>1743914560</v>
      </c>
      <c r="G27" s="14">
        <f t="shared" si="11"/>
        <v>2621013433.5999999</v>
      </c>
      <c r="H27" s="14">
        <f t="shared" si="11"/>
        <v>3278620239.6160002</v>
      </c>
    </row>
    <row r="30" spans="2:8" x14ac:dyDescent="0.25">
      <c r="B30" s="6" t="s">
        <v>1</v>
      </c>
      <c r="C30" s="19"/>
      <c r="D30" s="6"/>
      <c r="E30" s="6"/>
      <c r="F30" s="6"/>
      <c r="G30" s="6"/>
      <c r="H30" s="6"/>
    </row>
    <row r="31" spans="2:8" x14ac:dyDescent="0.25">
      <c r="B31" s="5" t="s">
        <v>3</v>
      </c>
    </row>
    <row r="32" spans="2:8" x14ac:dyDescent="0.25">
      <c r="B32" s="7" t="s">
        <v>12</v>
      </c>
      <c r="C32" s="20" t="s">
        <v>9</v>
      </c>
      <c r="D32" s="44">
        <v>30000</v>
      </c>
      <c r="E32" s="4">
        <f>D32*(1+E33)</f>
        <v>60000</v>
      </c>
      <c r="F32" s="4">
        <f t="shared" ref="F32:H32" si="12">E32*(1+F33)</f>
        <v>105000</v>
      </c>
      <c r="G32" s="4">
        <f t="shared" si="12"/>
        <v>157500</v>
      </c>
      <c r="H32" s="4">
        <f t="shared" si="12"/>
        <v>196875</v>
      </c>
    </row>
    <row r="33" spans="2:8" x14ac:dyDescent="0.25">
      <c r="B33" s="7" t="s">
        <v>13</v>
      </c>
      <c r="C33" s="20" t="s">
        <v>11</v>
      </c>
      <c r="D33" s="3"/>
      <c r="E33" s="26">
        <v>1</v>
      </c>
      <c r="F33" s="26">
        <v>0.75</v>
      </c>
      <c r="G33" s="26">
        <v>0.5</v>
      </c>
      <c r="H33" s="26">
        <v>0.25</v>
      </c>
    </row>
    <row r="34" spans="2:8" x14ac:dyDescent="0.25">
      <c r="B34" s="40" t="s">
        <v>33</v>
      </c>
      <c r="C34" s="41" t="s">
        <v>26</v>
      </c>
      <c r="D34" s="43">
        <v>150</v>
      </c>
      <c r="E34" s="43">
        <v>150</v>
      </c>
      <c r="F34" s="43">
        <v>150</v>
      </c>
      <c r="G34" s="43">
        <v>150</v>
      </c>
      <c r="H34" s="43">
        <v>150</v>
      </c>
    </row>
    <row r="35" spans="2:8" x14ac:dyDescent="0.25">
      <c r="B35" s="40" t="s">
        <v>34</v>
      </c>
      <c r="C35" s="41" t="s">
        <v>26</v>
      </c>
      <c r="D35" s="43">
        <v>200</v>
      </c>
      <c r="E35" s="43">
        <v>200</v>
      </c>
      <c r="F35" s="43">
        <v>200</v>
      </c>
      <c r="G35" s="43">
        <v>200</v>
      </c>
      <c r="H35" s="43">
        <v>200</v>
      </c>
    </row>
    <row r="36" spans="2:8" x14ac:dyDescent="0.25">
      <c r="B36" s="7"/>
      <c r="D36" s="3"/>
      <c r="E36" s="3"/>
      <c r="F36" s="3"/>
      <c r="G36" s="3"/>
      <c r="H36" s="3"/>
    </row>
    <row r="37" spans="2:8" x14ac:dyDescent="0.25">
      <c r="B37" s="10" t="s">
        <v>36</v>
      </c>
      <c r="D37" s="3"/>
      <c r="E37" s="3"/>
      <c r="F37" s="3"/>
      <c r="G37" s="3"/>
      <c r="H37" s="3"/>
    </row>
    <row r="38" spans="2:8" x14ac:dyDescent="0.25">
      <c r="B38" s="40" t="s">
        <v>28</v>
      </c>
      <c r="C38" s="42" t="s">
        <v>26</v>
      </c>
      <c r="D38" s="24">
        <f>(30/100*D5)/D32</f>
        <v>9000</v>
      </c>
      <c r="E38" s="24">
        <f>(30/100*E5)/E32</f>
        <v>9000</v>
      </c>
      <c r="F38" s="24">
        <f t="shared" ref="F38:H38" si="13">(30/100*F5)/F32</f>
        <v>9000</v>
      </c>
      <c r="G38" s="24">
        <f t="shared" si="13"/>
        <v>9000</v>
      </c>
      <c r="H38" s="24">
        <f t="shared" si="13"/>
        <v>9000</v>
      </c>
    </row>
    <row r="39" spans="2:8" x14ac:dyDescent="0.25">
      <c r="B39" s="46" t="s">
        <v>30</v>
      </c>
      <c r="C39" s="42"/>
      <c r="D39" s="24"/>
      <c r="E39" s="24"/>
      <c r="F39" s="24"/>
      <c r="G39" s="24"/>
      <c r="H39" s="24"/>
    </row>
    <row r="40" spans="2:8" x14ac:dyDescent="0.25">
      <c r="B40" s="40" t="s">
        <v>31</v>
      </c>
      <c r="C40" s="45" t="s">
        <v>26</v>
      </c>
      <c r="D40" s="3">
        <v>50</v>
      </c>
      <c r="E40" s="3">
        <v>50</v>
      </c>
      <c r="F40" s="3">
        <v>50</v>
      </c>
      <c r="G40" s="3">
        <v>50</v>
      </c>
      <c r="H40" s="3">
        <v>50</v>
      </c>
    </row>
    <row r="41" spans="2:8" x14ac:dyDescent="0.25">
      <c r="B41" s="40" t="s">
        <v>32</v>
      </c>
      <c r="C41" s="45" t="s">
        <v>26</v>
      </c>
      <c r="D41" s="3">
        <v>50</v>
      </c>
      <c r="E41" s="3">
        <v>50</v>
      </c>
      <c r="F41" s="3">
        <v>50</v>
      </c>
      <c r="G41" s="3">
        <v>50</v>
      </c>
      <c r="H41" s="3">
        <v>50</v>
      </c>
    </row>
    <row r="42" spans="2:8" x14ac:dyDescent="0.25">
      <c r="B42" s="40"/>
      <c r="D42" s="3"/>
      <c r="E42" s="3"/>
      <c r="F42" s="3"/>
      <c r="G42" s="3"/>
      <c r="H42" s="3"/>
    </row>
    <row r="43" spans="2:8" x14ac:dyDescent="0.25">
      <c r="B43" s="28" t="s">
        <v>19</v>
      </c>
      <c r="D43" s="3"/>
      <c r="E43" s="3"/>
      <c r="F43" s="3"/>
      <c r="G43" s="3"/>
      <c r="H43" s="3"/>
    </row>
    <row r="44" spans="2:8" x14ac:dyDescent="0.25">
      <c r="B44" s="50" t="s">
        <v>37</v>
      </c>
      <c r="C44" s="42" t="s">
        <v>26</v>
      </c>
      <c r="D44" s="3">
        <v>4000000</v>
      </c>
      <c r="E44" s="3">
        <f>6/100*D44+D44</f>
        <v>4240000</v>
      </c>
      <c r="F44" s="3">
        <f t="shared" ref="F44:H44" si="14">6/100*E44+E44</f>
        <v>4494400</v>
      </c>
      <c r="G44" s="3">
        <f t="shared" si="14"/>
        <v>4764064</v>
      </c>
      <c r="H44" s="3">
        <f t="shared" si="14"/>
        <v>5049907.84</v>
      </c>
    </row>
    <row r="45" spans="2:8" x14ac:dyDescent="0.25">
      <c r="B45" s="7" t="s">
        <v>21</v>
      </c>
      <c r="C45" s="42" t="s">
        <v>26</v>
      </c>
      <c r="D45" s="3">
        <v>7000000</v>
      </c>
      <c r="E45" s="3">
        <f>6/100*D45+D45</f>
        <v>7420000</v>
      </c>
      <c r="F45" s="3">
        <f t="shared" ref="F45:H45" si="15">6/100*E45+E45</f>
        <v>7865200</v>
      </c>
      <c r="G45" s="3">
        <f t="shared" si="15"/>
        <v>8337112</v>
      </c>
      <c r="H45" s="3">
        <f t="shared" si="15"/>
        <v>8837338.7200000007</v>
      </c>
    </row>
    <row r="46" spans="2:8" x14ac:dyDescent="0.25">
      <c r="B46" s="7" t="s">
        <v>6</v>
      </c>
      <c r="C46" s="42" t="s">
        <v>26</v>
      </c>
      <c r="D46" s="3">
        <v>1500000</v>
      </c>
      <c r="E46" s="3">
        <f>6/100*D46+D46</f>
        <v>1590000</v>
      </c>
      <c r="F46" s="3">
        <f t="shared" ref="F46:H46" si="16">6/100*E46+E46</f>
        <v>1685400</v>
      </c>
      <c r="G46" s="3">
        <f t="shared" si="16"/>
        <v>1786524</v>
      </c>
      <c r="H46" s="3">
        <f t="shared" si="16"/>
        <v>1893715.44</v>
      </c>
    </row>
    <row r="47" spans="2:8" x14ac:dyDescent="0.25">
      <c r="B47" s="7" t="s">
        <v>2</v>
      </c>
      <c r="C47" s="42" t="s">
        <v>26</v>
      </c>
      <c r="D47" s="3">
        <v>500000</v>
      </c>
      <c r="E47" s="3">
        <f>6/100*D47+D47</f>
        <v>530000</v>
      </c>
      <c r="F47" s="3">
        <f t="shared" ref="F47:H47" si="17">6/100*E47+E47</f>
        <v>561800</v>
      </c>
      <c r="G47" s="3">
        <f t="shared" si="17"/>
        <v>595508</v>
      </c>
      <c r="H47" s="3">
        <f t="shared" si="17"/>
        <v>631238.48</v>
      </c>
    </row>
    <row r="48" spans="2:8" x14ac:dyDescent="0.25">
      <c r="B48" s="7"/>
      <c r="D48" s="3"/>
      <c r="E48" s="3"/>
      <c r="F48" s="3"/>
      <c r="G48" s="3"/>
      <c r="H48" s="3"/>
    </row>
    <row r="49" spans="2:8" x14ac:dyDescent="0.25">
      <c r="B49" s="28" t="s">
        <v>20</v>
      </c>
      <c r="C49" s="20" t="s">
        <v>11</v>
      </c>
      <c r="D49" s="16">
        <v>0.2</v>
      </c>
      <c r="E49" s="16">
        <v>0.2</v>
      </c>
      <c r="F49" s="16">
        <v>0.2</v>
      </c>
      <c r="G49" s="16">
        <v>0.2</v>
      </c>
      <c r="H49" s="16">
        <v>0.2</v>
      </c>
    </row>
  </sheetData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D3416-A016-44DC-887C-55A541B3FDB7}">
  <dimension ref="B30:H49"/>
  <sheetViews>
    <sheetView workbookViewId="0">
      <selection activeCell="B30" sqref="B30"/>
    </sheetView>
  </sheetViews>
  <sheetFormatPr defaultRowHeight="15.75" x14ac:dyDescent="0.25"/>
  <cols>
    <col min="2" max="2" width="35" customWidth="1"/>
    <col min="3" max="3" width="2.625" bestFit="1" customWidth="1"/>
    <col min="4" max="8" width="12.625" bestFit="1" customWidth="1"/>
  </cols>
  <sheetData>
    <row r="30" spans="2:8" ht="18.75" x14ac:dyDescent="0.3">
      <c r="B30" s="53" t="s">
        <v>1</v>
      </c>
      <c r="C30" s="52"/>
      <c r="D30" s="51"/>
      <c r="E30" s="51"/>
      <c r="F30" s="51"/>
      <c r="G30" s="51"/>
      <c r="H30" s="51"/>
    </row>
    <row r="31" spans="2:8" ht="18.75" x14ac:dyDescent="0.3">
      <c r="B31" s="54" t="s">
        <v>3</v>
      </c>
      <c r="C31" s="58"/>
      <c r="D31" s="54"/>
      <c r="E31" s="54"/>
      <c r="F31" s="54"/>
      <c r="G31" s="54"/>
      <c r="H31" s="54"/>
    </row>
    <row r="32" spans="2:8" ht="18.75" x14ac:dyDescent="0.3">
      <c r="B32" s="55" t="s">
        <v>12</v>
      </c>
      <c r="C32" s="58" t="s">
        <v>9</v>
      </c>
      <c r="D32" s="59">
        <v>30000</v>
      </c>
      <c r="E32" s="60">
        <f>D32*(1+E33)</f>
        <v>60000</v>
      </c>
      <c r="F32" s="60">
        <f t="shared" ref="F32:H32" si="0">E32*(1+F33)</f>
        <v>105000</v>
      </c>
      <c r="G32" s="60">
        <f t="shared" si="0"/>
        <v>157500</v>
      </c>
      <c r="H32" s="60">
        <f t="shared" si="0"/>
        <v>196875</v>
      </c>
    </row>
    <row r="33" spans="2:8" ht="18.75" x14ac:dyDescent="0.3">
      <c r="B33" s="55" t="s">
        <v>13</v>
      </c>
      <c r="C33" s="58" t="s">
        <v>11</v>
      </c>
      <c r="D33" s="61"/>
      <c r="E33" s="62">
        <v>1</v>
      </c>
      <c r="F33" s="62">
        <v>0.75</v>
      </c>
      <c r="G33" s="62">
        <v>0.5</v>
      </c>
      <c r="H33" s="62">
        <v>0.25</v>
      </c>
    </row>
    <row r="34" spans="2:8" ht="18.75" x14ac:dyDescent="0.3">
      <c r="B34" s="55" t="s">
        <v>33</v>
      </c>
      <c r="C34" s="58" t="s">
        <v>26</v>
      </c>
      <c r="D34" s="63">
        <v>150</v>
      </c>
      <c r="E34" s="63">
        <v>150</v>
      </c>
      <c r="F34" s="63">
        <v>150</v>
      </c>
      <c r="G34" s="63">
        <v>150</v>
      </c>
      <c r="H34" s="63">
        <v>150</v>
      </c>
    </row>
    <row r="35" spans="2:8" ht="18.75" x14ac:dyDescent="0.3">
      <c r="B35" s="55" t="s">
        <v>34</v>
      </c>
      <c r="C35" s="58" t="s">
        <v>26</v>
      </c>
      <c r="D35" s="63">
        <v>200</v>
      </c>
      <c r="E35" s="63">
        <v>200</v>
      </c>
      <c r="F35" s="63">
        <v>200</v>
      </c>
      <c r="G35" s="63">
        <v>200</v>
      </c>
      <c r="H35" s="63">
        <v>200</v>
      </c>
    </row>
    <row r="36" spans="2:8" ht="18.75" x14ac:dyDescent="0.3">
      <c r="B36" s="55"/>
      <c r="C36" s="58"/>
      <c r="D36" s="61"/>
      <c r="E36" s="61"/>
      <c r="F36" s="61"/>
      <c r="G36" s="61"/>
      <c r="H36" s="61"/>
    </row>
    <row r="37" spans="2:8" ht="18.75" x14ac:dyDescent="0.3">
      <c r="B37" s="56" t="s">
        <v>36</v>
      </c>
      <c r="C37" s="58"/>
      <c r="D37" s="61"/>
      <c r="E37" s="61"/>
      <c r="F37" s="61"/>
      <c r="G37" s="61"/>
      <c r="H37" s="61"/>
    </row>
    <row r="38" spans="2:8" ht="18.75" x14ac:dyDescent="0.3">
      <c r="B38" s="55" t="s">
        <v>28</v>
      </c>
      <c r="C38" s="58" t="s">
        <v>26</v>
      </c>
      <c r="D38" s="64">
        <f>(30/100*D5)/D32</f>
        <v>0</v>
      </c>
      <c r="E38" s="64">
        <f>(30/100*E5)/E32</f>
        <v>0</v>
      </c>
      <c r="F38" s="64">
        <f t="shared" ref="F38:H38" si="1">(30/100*F5)/F32</f>
        <v>0</v>
      </c>
      <c r="G38" s="64">
        <f t="shared" si="1"/>
        <v>0</v>
      </c>
      <c r="H38" s="64">
        <f t="shared" si="1"/>
        <v>0</v>
      </c>
    </row>
    <row r="39" spans="2:8" ht="18.75" x14ac:dyDescent="0.3">
      <c r="B39" s="55" t="s">
        <v>30</v>
      </c>
      <c r="C39" s="58"/>
      <c r="D39" s="64"/>
      <c r="E39" s="64"/>
      <c r="F39" s="64"/>
      <c r="G39" s="64"/>
      <c r="H39" s="64"/>
    </row>
    <row r="40" spans="2:8" ht="18.75" x14ac:dyDescent="0.3">
      <c r="B40" s="55" t="s">
        <v>31</v>
      </c>
      <c r="C40" s="58" t="s">
        <v>26</v>
      </c>
      <c r="D40" s="61">
        <v>50</v>
      </c>
      <c r="E40" s="61">
        <v>50</v>
      </c>
      <c r="F40" s="61">
        <v>50</v>
      </c>
      <c r="G40" s="61">
        <v>50</v>
      </c>
      <c r="H40" s="61">
        <v>50</v>
      </c>
    </row>
    <row r="41" spans="2:8" ht="18.75" x14ac:dyDescent="0.3">
      <c r="B41" s="55" t="s">
        <v>32</v>
      </c>
      <c r="C41" s="58" t="s">
        <v>26</v>
      </c>
      <c r="D41" s="61">
        <v>50</v>
      </c>
      <c r="E41" s="61">
        <v>50</v>
      </c>
      <c r="F41" s="61">
        <v>50</v>
      </c>
      <c r="G41" s="61">
        <v>50</v>
      </c>
      <c r="H41" s="61">
        <v>50</v>
      </c>
    </row>
    <row r="42" spans="2:8" ht="18.75" x14ac:dyDescent="0.3">
      <c r="B42" s="55"/>
      <c r="C42" s="58"/>
      <c r="D42" s="61"/>
      <c r="E42" s="61"/>
      <c r="F42" s="61"/>
      <c r="G42" s="61"/>
      <c r="H42" s="61"/>
    </row>
    <row r="43" spans="2:8" ht="18.75" x14ac:dyDescent="0.3">
      <c r="B43" s="57" t="s">
        <v>19</v>
      </c>
      <c r="C43" s="58"/>
      <c r="D43" s="61"/>
      <c r="E43" s="61"/>
      <c r="F43" s="61"/>
      <c r="G43" s="61"/>
      <c r="H43" s="61"/>
    </row>
    <row r="44" spans="2:8" ht="18.75" x14ac:dyDescent="0.3">
      <c r="B44" s="55" t="s">
        <v>37</v>
      </c>
      <c r="C44" s="58" t="s">
        <v>26</v>
      </c>
      <c r="D44" s="61">
        <v>4000000</v>
      </c>
      <c r="E44" s="61">
        <f>6/100*D44+D44</f>
        <v>4240000</v>
      </c>
      <c r="F44" s="61">
        <f t="shared" ref="F44:H47" si="2">6/100*E44+E44</f>
        <v>4494400</v>
      </c>
      <c r="G44" s="61">
        <f t="shared" si="2"/>
        <v>4764064</v>
      </c>
      <c r="H44" s="61">
        <f t="shared" si="2"/>
        <v>5049907.84</v>
      </c>
    </row>
    <row r="45" spans="2:8" ht="18.75" x14ac:dyDescent="0.3">
      <c r="B45" s="55" t="s">
        <v>21</v>
      </c>
      <c r="C45" s="58" t="s">
        <v>26</v>
      </c>
      <c r="D45" s="61">
        <v>7000000</v>
      </c>
      <c r="E45" s="61">
        <f>6/100*D45+D45</f>
        <v>7420000</v>
      </c>
      <c r="F45" s="61">
        <f t="shared" si="2"/>
        <v>7865200</v>
      </c>
      <c r="G45" s="61">
        <f t="shared" si="2"/>
        <v>8337112</v>
      </c>
      <c r="H45" s="61">
        <f t="shared" si="2"/>
        <v>8837338.7200000007</v>
      </c>
    </row>
    <row r="46" spans="2:8" ht="18.75" x14ac:dyDescent="0.3">
      <c r="B46" s="55" t="s">
        <v>6</v>
      </c>
      <c r="C46" s="58" t="s">
        <v>26</v>
      </c>
      <c r="D46" s="61">
        <v>1500000</v>
      </c>
      <c r="E46" s="61">
        <f>6/100*D46+D46</f>
        <v>1590000</v>
      </c>
      <c r="F46" s="61">
        <f t="shared" si="2"/>
        <v>1685400</v>
      </c>
      <c r="G46" s="61">
        <f t="shared" si="2"/>
        <v>1786524</v>
      </c>
      <c r="H46" s="61">
        <f t="shared" si="2"/>
        <v>1893715.44</v>
      </c>
    </row>
    <row r="47" spans="2:8" ht="18.75" x14ac:dyDescent="0.3">
      <c r="B47" s="55" t="s">
        <v>2</v>
      </c>
      <c r="C47" s="58" t="s">
        <v>26</v>
      </c>
      <c r="D47" s="61">
        <v>500000</v>
      </c>
      <c r="E47" s="61">
        <f>6/100*D47+D47</f>
        <v>530000</v>
      </c>
      <c r="F47" s="61">
        <f t="shared" si="2"/>
        <v>561800</v>
      </c>
      <c r="G47" s="61">
        <f t="shared" si="2"/>
        <v>595508</v>
      </c>
      <c r="H47" s="61">
        <f t="shared" si="2"/>
        <v>631238.48</v>
      </c>
    </row>
    <row r="48" spans="2:8" ht="18.75" x14ac:dyDescent="0.3">
      <c r="B48" s="55"/>
      <c r="C48" s="58"/>
      <c r="D48" s="61"/>
      <c r="E48" s="61"/>
      <c r="F48" s="61"/>
      <c r="G48" s="61"/>
      <c r="H48" s="61"/>
    </row>
    <row r="49" spans="2:8" ht="18.75" x14ac:dyDescent="0.3">
      <c r="B49" s="57" t="s">
        <v>20</v>
      </c>
      <c r="C49" s="58" t="s">
        <v>11</v>
      </c>
      <c r="D49" s="65">
        <v>0.2</v>
      </c>
      <c r="E49" s="65">
        <v>0.2</v>
      </c>
      <c r="F49" s="65">
        <v>0.2</v>
      </c>
      <c r="G49" s="65">
        <v>0.2</v>
      </c>
      <c r="H49" s="65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Forecasting Model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Te_Mech_32_Aarnav Singh</cp:lastModifiedBy>
  <dcterms:created xsi:type="dcterms:W3CDTF">2022-08-22T01:16:26Z</dcterms:created>
  <dcterms:modified xsi:type="dcterms:W3CDTF">2025-09-09T06:40:30Z</dcterms:modified>
</cp:coreProperties>
</file>